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-Assisted-Automative-Procurement-Optimization\Data\"/>
    </mc:Choice>
  </mc:AlternateContent>
  <bookViews>
    <workbookView xWindow="0" yWindow="0" windowWidth="20490" windowHeight="8910"/>
  </bookViews>
  <sheets>
    <sheet name="Sheet1" sheetId="1" r:id="rId1"/>
    <sheet name="FX_Hist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S3" i="1"/>
  <c r="S4" i="1"/>
  <c r="AC4" i="1"/>
  <c r="AB4" i="1"/>
  <c r="AD4" i="1" s="1"/>
  <c r="AA2" i="1"/>
  <c r="AC2" i="1" s="1"/>
  <c r="AA3" i="1"/>
  <c r="AA4" i="1"/>
  <c r="AB2" i="1" l="1"/>
  <c r="AD2" i="1" s="1"/>
  <c r="K2" i="1"/>
  <c r="K3" i="1"/>
  <c r="K4" i="1"/>
  <c r="Y2" i="1"/>
  <c r="X2" i="1"/>
  <c r="Z2" i="1" l="1"/>
  <c r="W2" i="1"/>
  <c r="W3" i="1"/>
  <c r="W4" i="1"/>
  <c r="Y4" i="1" l="1"/>
  <c r="X4" i="1"/>
  <c r="Y3" i="1"/>
  <c r="AC3" i="1" s="1"/>
  <c r="X3" i="1"/>
  <c r="AB3" i="1" s="1"/>
  <c r="AD3" i="1" s="1"/>
  <c r="Z3" i="1" l="1"/>
  <c r="Z4" i="1"/>
</calcChain>
</file>

<file path=xl/sharedStrings.xml><?xml version="1.0" encoding="utf-8"?>
<sst xmlns="http://schemas.openxmlformats.org/spreadsheetml/2006/main" count="71" uniqueCount="56">
  <si>
    <t>Part_Number</t>
  </si>
  <si>
    <t>Product_description</t>
  </si>
  <si>
    <t>Manufacturer</t>
  </si>
  <si>
    <t>Supplier</t>
  </si>
  <si>
    <t>Supplier_Country</t>
  </si>
  <si>
    <t>Currency</t>
  </si>
  <si>
    <t>MOQ</t>
  </si>
  <si>
    <t>Price_Break_Qty</t>
  </si>
  <si>
    <t>Lead_Time_Days</t>
  </si>
  <si>
    <t>Incoterms</t>
  </si>
  <si>
    <t>HS_Code</t>
  </si>
  <si>
    <t>Shipping_Cost</t>
  </si>
  <si>
    <t>Quality_Certification</t>
  </si>
  <si>
    <t>Risk_Source</t>
  </si>
  <si>
    <t>Source_URL</t>
  </si>
  <si>
    <t>Data_Date</t>
  </si>
  <si>
    <t>Notes</t>
  </si>
  <si>
    <t>Farnell</t>
  </si>
  <si>
    <t>Germany</t>
  </si>
  <si>
    <t>TE/Connectivity/Deutsch</t>
  </si>
  <si>
    <t>N/A</t>
  </si>
  <si>
    <t>1062-16-0122</t>
  </si>
  <si>
    <t>Contact, Socket, Crimp, 14-18 AWG</t>
  </si>
  <si>
    <t>EUR</t>
  </si>
  <si>
    <t>Original TE, Connectivity/ Deutsch Part;Price for +10 units, Manufacturer Lead time 15 weeks; RoHS compliant; Country of origin USA</t>
  </si>
  <si>
    <t>1062-16-0123</t>
  </si>
  <si>
    <t>Deutsch DT Series/Automative Female Pin/ Stamp Terminal</t>
  </si>
  <si>
    <t>Unverified</t>
  </si>
  <si>
    <t>Yueqing Aukeman Trading Co. , LTD</t>
  </si>
  <si>
    <t>China</t>
  </si>
  <si>
    <t>USD</t>
  </si>
  <si>
    <t>China Suppliervlisting for the same part number; authenticity/ original manufacturer status not independently verified</t>
  </si>
  <si>
    <t>farnel</t>
  </si>
  <si>
    <t>made-in-china</t>
  </si>
  <si>
    <t>Unit_Price_Min</t>
  </si>
  <si>
    <t>Unit_Price_Max</t>
  </si>
  <si>
    <t>Socket contact, Nickel Crimp, 14-18 AWG</t>
  </si>
  <si>
    <t>Mouser</t>
  </si>
  <si>
    <t>USA</t>
  </si>
  <si>
    <t>mouser</t>
  </si>
  <si>
    <t>Full reel, pries varies by quantity</t>
  </si>
  <si>
    <t>EUR_Rate</t>
  </si>
  <si>
    <t>Date</t>
  </si>
  <si>
    <t>Source</t>
  </si>
  <si>
    <t>Base Currency</t>
  </si>
  <si>
    <t>investing.com</t>
  </si>
  <si>
    <t>Unit_Price_Min_EUR</t>
  </si>
  <si>
    <t>Unit_Price_Max_EUR</t>
  </si>
  <si>
    <t>Price Range</t>
  </si>
  <si>
    <t>Shipping Cost Per Unit</t>
  </si>
  <si>
    <t>Landed Cost_Min</t>
  </si>
  <si>
    <t>Landed Cost_Max</t>
  </si>
  <si>
    <t>Order Quantity</t>
  </si>
  <si>
    <t>MOQ_Check</t>
  </si>
  <si>
    <t>Landed_Cost_Avg_EUR</t>
  </si>
  <si>
    <t>Supplier_Scoure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</si>
</sst>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D4" totalsRowShown="0">
  <autoFilter ref="A1:AD4"/>
  <tableColumns count="30">
    <tableColumn id="1" name="Part_Number"/>
    <tableColumn id="2" name="Product_description"/>
    <tableColumn id="3" name="Manufacturer"/>
    <tableColumn id="4" name="Supplier" dataDxfId="25"/>
    <tableColumn id="5" name="Supplier_Country" dataDxfId="24"/>
    <tableColumn id="6" name="Unit_Price_Min" dataDxfId="23"/>
    <tableColumn id="7" name="Unit_Price_Max" dataDxfId="22"/>
    <tableColumn id="8" name="Currency" dataDxfId="21"/>
    <tableColumn id="9" name="MOQ" dataDxfId="20"/>
    <tableColumn id="27" name="Order Quantity" dataDxfId="19"/>
    <tableColumn id="28" name="MOQ_Check" dataDxfId="18">
      <calculatedColumnFormula>IF(I2&gt;=J2,"OK","Below MOQ")</calculatedColumnFormula>
    </tableColumn>
    <tableColumn id="10" name="Price_Break_Qty" dataDxfId="17"/>
    <tableColumn id="11" name="Lead_Time_Days" dataDxfId="16"/>
    <tableColumn id="12" name="Incoterms" dataDxfId="15"/>
    <tableColumn id="13" name="HS_Code" dataDxfId="14"/>
    <tableColumn id="14" name="Shipping_Cost" dataDxfId="13"/>
    <tableColumn id="15" name="Quality_Certification" dataDxfId="12"/>
    <tableColumn id="16" name="Risk_Source" dataDxfId="11"/>
    <tableColumn id="30" name="Supplier_Scoure" dataDxfId="0">
      <calculatedColumnFormula>IF(OR(LOWER(TRIM(T2))="farnel",LOWER(TRIM(T2))="mouser"),1,IF(LOWER(TRIM(T2))="made-in-china",3,5))</calculatedColumnFormula>
    </tableColumn>
    <tableColumn id="17" name="Source_URL" dataDxfId="10"/>
    <tableColumn id="18" name="Data_Date" dataDxfId="9"/>
    <tableColumn id="19" name="Notes"/>
    <tableColumn id="20" name="EUR_Rate" dataDxfId="8">
      <calculatedColumnFormula>IFERROR(IF(INDEX(FX_History!C:C,MATCH(H2,FX_History!B:B,0))="","N/A",INDEX(FX_History!C:C,MATCH(H2,FX_History!B:B,0))),"N/A")</calculatedColumnFormula>
    </tableColumn>
    <tableColumn id="21" name="Unit_Price_Min_EUR" dataDxfId="7">
      <calculatedColumnFormula>IF(H2="EUR",F2,F2*W2)</calculatedColumnFormula>
    </tableColumn>
    <tableColumn id="22" name="Unit_Price_Max_EUR" dataDxfId="6">
      <calculatedColumnFormula>IF(H2="EUR",G2,G2*W2)</calculatedColumnFormula>
    </tableColumn>
    <tableColumn id="23" name="Price Range" dataDxfId="5">
      <calculatedColumnFormula>Y2-X2</calculatedColumnFormula>
    </tableColumn>
    <tableColumn id="24" name="Shipping Cost Per Unit" dataDxfId="4">
      <calculatedColumnFormula>IF(J2&lt;I2,"N/A",IF(P2="N/A","N/A",P2/J2))</calculatedColumnFormula>
    </tableColumn>
    <tableColumn id="25" name="Landed Cost_Min" dataDxfId="3">
      <calculatedColumnFormula>IF(J2&lt;I2,"N/A",IF(AA2="N/A","N/A",X2+AA2))</calculatedColumnFormula>
    </tableColumn>
    <tableColumn id="26" name="Landed Cost_Max" dataDxfId="2">
      <calculatedColumnFormula>IF(J2&lt;I2,"N/A",IF(AA2="N/A","N/A",Y2+AA2))</calculatedColumnFormula>
    </tableColumn>
    <tableColumn id="29" name="Landed_Cost_Avg_EUR" dataDxfId="1">
      <calculatedColumnFormula>IF(OR(AB2="N/A",AC2="N/A"),"N/A",(AB2+AC2)/2)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P1" workbookViewId="0">
      <selection activeCell="S12" sqref="S12"/>
    </sheetView>
  </sheetViews>
  <sheetFormatPr defaultRowHeight="15" x14ac:dyDescent="0.25"/>
  <cols>
    <col min="1" max="1" width="15" customWidth="1"/>
    <col min="2" max="2" width="21" customWidth="1"/>
    <col min="3" max="3" width="15.28515625" customWidth="1"/>
    <col min="4" max="4" width="10.5703125" customWidth="1"/>
    <col min="5" max="5" width="18.5703125" customWidth="1"/>
    <col min="6" max="6" width="17" customWidth="1"/>
    <col min="7" max="7" width="17.28515625" customWidth="1"/>
    <col min="8" max="8" width="11" customWidth="1"/>
    <col min="10" max="10" width="17.7109375" customWidth="1"/>
    <col min="11" max="11" width="17.85546875" customWidth="1"/>
    <col min="12" max="12" width="12" customWidth="1"/>
    <col min="13" max="13" width="11" customWidth="1"/>
    <col min="14" max="14" width="15.7109375" customWidth="1"/>
    <col min="15" max="15" width="21.5703125" customWidth="1"/>
    <col min="16" max="16" width="13.7109375" customWidth="1"/>
    <col min="17" max="17" width="13.5703125" customWidth="1"/>
    <col min="18" max="18" width="12.2851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5</v>
      </c>
      <c r="I1" t="s">
        <v>6</v>
      </c>
      <c r="J1" t="s">
        <v>52</v>
      </c>
      <c r="K1" t="s">
        <v>53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55</v>
      </c>
      <c r="T1" t="s">
        <v>14</v>
      </c>
      <c r="U1" t="s">
        <v>15</v>
      </c>
      <c r="V1" t="s">
        <v>16</v>
      </c>
      <c r="W1" t="s">
        <v>41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54</v>
      </c>
    </row>
    <row r="2" spans="1:30" x14ac:dyDescent="0.25">
      <c r="A2" t="s">
        <v>21</v>
      </c>
      <c r="B2" t="s">
        <v>22</v>
      </c>
      <c r="C2" t="s">
        <v>19</v>
      </c>
      <c r="D2" s="2" t="s">
        <v>17</v>
      </c>
      <c r="E2" s="2" t="s">
        <v>18</v>
      </c>
      <c r="F2" s="2">
        <v>0.19500000000000001</v>
      </c>
      <c r="G2" s="2">
        <v>0.19500000000000001</v>
      </c>
      <c r="H2" s="2" t="s">
        <v>23</v>
      </c>
      <c r="I2" s="2">
        <v>10</v>
      </c>
      <c r="J2" s="2">
        <v>1000</v>
      </c>
      <c r="K2" s="2" t="str">
        <f t="shared" ref="K2:K4" si="0">IF(I2&gt;=J2,"OK","Below MOQ")</f>
        <v>Below MOQ</v>
      </c>
      <c r="L2" s="2">
        <v>10</v>
      </c>
      <c r="M2" s="2">
        <v>105</v>
      </c>
      <c r="N2" s="2" t="s">
        <v>20</v>
      </c>
      <c r="O2" s="2">
        <v>85369010</v>
      </c>
      <c r="P2" s="2" t="s">
        <v>20</v>
      </c>
      <c r="Q2" s="2" t="s">
        <v>20</v>
      </c>
      <c r="R2" s="2"/>
      <c r="S2" s="2">
        <f t="shared" ref="S2:S4" si="1">IF(OR(LOWER(TRIM(T2))="farnel",LOWER(TRIM(T2))="mouser"),1,IF(LOWER(TRIM(T2))="made-in-china",3,5))</f>
        <v>1</v>
      </c>
      <c r="T2" s="2" t="s">
        <v>32</v>
      </c>
      <c r="U2" s="1">
        <v>46212</v>
      </c>
      <c r="V2" t="s">
        <v>24</v>
      </c>
      <c r="W2" s="2">
        <f>IFERROR(IF(INDEX(FX_History!C:C,MATCH(H2,FX_History!B:B,0))="","N/A",INDEX(FX_History!C:C,MATCH(H2,FX_History!B:B,0))),"N/A")</f>
        <v>1</v>
      </c>
      <c r="X2" s="3">
        <f>IF(H2="EUR",F2,F2*W2)</f>
        <v>0.19500000000000001</v>
      </c>
      <c r="Y2" s="3">
        <f>IF(H2="EUR",G2,G2*W2)</f>
        <v>0.19500000000000001</v>
      </c>
      <c r="Z2" s="3">
        <f t="shared" ref="Z2:Z4" si="2">Y2-X2</f>
        <v>0</v>
      </c>
      <c r="AA2" s="3" t="str">
        <f>IF(J2&lt;I2,"N/A",IF(P2="N/A","N/A",P2/J2))</f>
        <v>N/A</v>
      </c>
      <c r="AB2" s="3" t="str">
        <f>IF(J2&lt;I2,"N/A",IF(AA2="N/A","N/A",X2+AA2))</f>
        <v>N/A</v>
      </c>
      <c r="AC2" s="3" t="str">
        <f>IF(J2&lt;I2,"N/A",IF(AA2="N/A","N/A",Y2+AA2))</f>
        <v>N/A</v>
      </c>
      <c r="AD2" s="3" t="str">
        <f t="shared" ref="AD2:AD4" si="3">IF(OR(AB2="N/A",AC2="N/A"),"N/A",(AB2+AC2)/2)</f>
        <v>N/A</v>
      </c>
    </row>
    <row r="3" spans="1:30" x14ac:dyDescent="0.25">
      <c r="A3" t="s">
        <v>25</v>
      </c>
      <c r="B3" t="s">
        <v>26</v>
      </c>
      <c r="C3" t="s">
        <v>27</v>
      </c>
      <c r="D3" s="2" t="s">
        <v>28</v>
      </c>
      <c r="E3" s="2" t="s">
        <v>29</v>
      </c>
      <c r="F3" s="2">
        <v>0.01</v>
      </c>
      <c r="G3" s="2">
        <v>0.04</v>
      </c>
      <c r="H3" s="2" t="s">
        <v>30</v>
      </c>
      <c r="I3" s="2">
        <v>200</v>
      </c>
      <c r="J3" s="2">
        <v>1000</v>
      </c>
      <c r="K3" s="2" t="str">
        <f t="shared" si="0"/>
        <v>Below MOQ</v>
      </c>
      <c r="L3" s="2">
        <v>200</v>
      </c>
      <c r="M3" s="2"/>
      <c r="N3" s="2"/>
      <c r="O3" s="2"/>
      <c r="P3" s="2" t="s">
        <v>20</v>
      </c>
      <c r="Q3" s="2"/>
      <c r="R3" s="2"/>
      <c r="S3" s="2">
        <f t="shared" si="1"/>
        <v>3</v>
      </c>
      <c r="T3" s="2" t="s">
        <v>33</v>
      </c>
      <c r="U3" s="1">
        <v>46212</v>
      </c>
      <c r="V3" t="s">
        <v>31</v>
      </c>
      <c r="W3" s="2">
        <f>IFERROR(IF(INDEX(FX_History!C:C,MATCH(H3,FX_History!B:B,0))="","N/A",INDEX(FX_History!C:C,MATCH(H3,FX_History!B:B,0))),"N/A")</f>
        <v>0.86129999999999995</v>
      </c>
      <c r="X3" s="3">
        <f>IF(H3="EUR",F3,F3*W3)</f>
        <v>8.6129999999999991E-3</v>
      </c>
      <c r="Y3" s="3">
        <f>IF(H3="EUR",G3,G3*W3)</f>
        <v>3.4451999999999997E-2</v>
      </c>
      <c r="Z3" s="3">
        <f t="shared" si="2"/>
        <v>2.5838999999999997E-2</v>
      </c>
      <c r="AA3" s="3" t="str">
        <f>IF(J3&lt;I3,"N/A",IF(P3="N/A","N/A",P3/J3))</f>
        <v>N/A</v>
      </c>
      <c r="AB3" s="3" t="str">
        <f>IF(J3&lt;I3,"N/A",IF(AA3="N/A","N/A",X3+AA3))</f>
        <v>N/A</v>
      </c>
      <c r="AC3" s="3" t="str">
        <f>IF(J3&lt;I3,"N/A",IF(AA3="N/A","N/A",Y3+AA3))</f>
        <v>N/A</v>
      </c>
      <c r="AD3" s="3" t="str">
        <f t="shared" si="3"/>
        <v>N/A</v>
      </c>
    </row>
    <row r="4" spans="1:30" x14ac:dyDescent="0.25">
      <c r="A4" t="s">
        <v>25</v>
      </c>
      <c r="B4" t="s">
        <v>36</v>
      </c>
      <c r="C4" t="s">
        <v>19</v>
      </c>
      <c r="D4" s="2" t="s">
        <v>37</v>
      </c>
      <c r="E4" s="2" t="s">
        <v>38</v>
      </c>
      <c r="F4" s="2">
        <v>0.218</v>
      </c>
      <c r="G4" s="2">
        <v>0.245</v>
      </c>
      <c r="H4" s="2" t="s">
        <v>30</v>
      </c>
      <c r="I4" s="2">
        <v>4000</v>
      </c>
      <c r="J4" s="2">
        <v>1000</v>
      </c>
      <c r="K4" s="2" t="str">
        <f t="shared" si="0"/>
        <v>OK</v>
      </c>
      <c r="L4" s="2">
        <v>4000</v>
      </c>
      <c r="M4" s="2">
        <v>91</v>
      </c>
      <c r="N4" s="2" t="s">
        <v>20</v>
      </c>
      <c r="O4" s="2" t="s">
        <v>20</v>
      </c>
      <c r="P4" s="2" t="s">
        <v>20</v>
      </c>
      <c r="Q4" s="2" t="s">
        <v>20</v>
      </c>
      <c r="R4" s="2" t="s">
        <v>20</v>
      </c>
      <c r="S4" s="2">
        <f t="shared" si="1"/>
        <v>1</v>
      </c>
      <c r="T4" s="2" t="s">
        <v>39</v>
      </c>
      <c r="U4" s="1">
        <v>46212</v>
      </c>
      <c r="V4" t="s">
        <v>40</v>
      </c>
      <c r="W4" s="2">
        <f>IFERROR(IF(INDEX(FX_History!C:C,MATCH(H4,FX_History!B:B,0))="","N/A",INDEX(FX_History!C:C,MATCH(H4,FX_History!B:B,0))),"N/A")</f>
        <v>0.86129999999999995</v>
      </c>
      <c r="X4" s="3">
        <f>IF(H4="EUR",F4,F4*W4)</f>
        <v>0.1877634</v>
      </c>
      <c r="Y4" s="3">
        <f>IF(H4="EUR",G4,G4*W4)</f>
        <v>0.2110185</v>
      </c>
      <c r="Z4" s="3">
        <f t="shared" si="2"/>
        <v>2.3255100000000001E-2</v>
      </c>
      <c r="AA4" s="3" t="str">
        <f>IF(J4&lt;I4,"N/A",IF(P4="N/A","N/A",P4/J4))</f>
        <v>N/A</v>
      </c>
      <c r="AB4" s="3" t="str">
        <f>IF(J4&lt;I4,"N/A",IF(AA4="N/A","N/A",X4+AA4))</f>
        <v>N/A</v>
      </c>
      <c r="AC4" s="3" t="str">
        <f>IF(J4&lt;I4,"N/A",IF(AA4="N/A","N/A",Y4+AA4))</f>
        <v>N/A</v>
      </c>
      <c r="AD4" s="3" t="str">
        <f t="shared" si="3"/>
        <v>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9" sqref="C9"/>
    </sheetView>
  </sheetViews>
  <sheetFormatPr defaultRowHeight="15" x14ac:dyDescent="0.25"/>
  <sheetData>
    <row r="1" spans="1:4" x14ac:dyDescent="0.25">
      <c r="A1" t="s">
        <v>42</v>
      </c>
      <c r="B1" t="s">
        <v>5</v>
      </c>
      <c r="C1" t="s">
        <v>41</v>
      </c>
      <c r="D1" t="s">
        <v>43</v>
      </c>
    </row>
    <row r="2" spans="1:4" x14ac:dyDescent="0.25">
      <c r="A2" s="1">
        <v>46212</v>
      </c>
      <c r="B2" t="s">
        <v>23</v>
      </c>
      <c r="C2">
        <v>1</v>
      </c>
      <c r="D2" t="s">
        <v>44</v>
      </c>
    </row>
    <row r="3" spans="1:4" x14ac:dyDescent="0.25">
      <c r="A3" s="1">
        <v>46212</v>
      </c>
      <c r="B3" t="s">
        <v>30</v>
      </c>
      <c r="C3">
        <v>0.86129999999999995</v>
      </c>
      <c r="D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FX_History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2026-09-06T19:45:08Z</dcterms:created>
  <dcterms:modified xsi:type="dcterms:W3CDTF">2026-09-10T20:50:39Z</dcterms:modified>
</cp:coreProperties>
</file>